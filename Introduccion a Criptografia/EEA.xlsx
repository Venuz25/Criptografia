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pn-my.sharepoint.com/personal/aguevarab1900_alumno_ipn_mx/Documents/Documents/Escuela/Introduccion a Criptografia/"/>
    </mc:Choice>
  </mc:AlternateContent>
  <xr:revisionPtr revIDLastSave="38" documentId="8_{08C8033C-5202-4884-B7CC-23935260F61F}" xr6:coauthVersionLast="47" xr6:coauthVersionMax="47" xr10:uidLastSave="{DFAFFF90-BBBD-48FB-A040-5382ADB5BC95}"/>
  <bookViews>
    <workbookView xWindow="28680" yWindow="-120" windowWidth="29040" windowHeight="15720" xr2:uid="{48ABD05E-882A-4103-81E6-EB57C60A8D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M7" i="1" s="1"/>
  <c r="O7" i="1" s="1"/>
  <c r="Q7" i="1"/>
  <c r="N7" i="1"/>
  <c r="E7" i="1"/>
  <c r="S7" i="1" s="1"/>
  <c r="D7" i="1"/>
  <c r="Q4" i="1"/>
  <c r="N4" i="1"/>
  <c r="J4" i="1"/>
  <c r="M4" i="1" s="1"/>
  <c r="O4" i="1" s="1"/>
  <c r="N5" i="1" s="1"/>
  <c r="E4" i="1"/>
  <c r="S4" i="1" s="1"/>
  <c r="D4" i="1"/>
  <c r="Q2" i="1"/>
  <c r="N2" i="1"/>
  <c r="J2" i="1"/>
  <c r="M2" i="1" s="1"/>
  <c r="O2" i="1" s="1"/>
  <c r="Z2" i="1" s="1"/>
  <c r="E2" i="1"/>
  <c r="S2" i="1" s="1"/>
  <c r="D2" i="1"/>
  <c r="Z4" i="1" l="1"/>
  <c r="Z7" i="1"/>
  <c r="K7" i="1"/>
  <c r="L7" i="1" s="1"/>
  <c r="P7" i="1"/>
  <c r="R7" i="1" s="1"/>
  <c r="P2" i="1"/>
  <c r="R2" i="1" s="1"/>
  <c r="Y2" i="1" s="1"/>
  <c r="K4" i="1"/>
  <c r="L4" i="1" s="1"/>
  <c r="P4" i="1"/>
  <c r="R4" i="1" s="1"/>
  <c r="Y4" i="1" s="1"/>
  <c r="T4" i="1"/>
  <c r="X4" i="1" s="1"/>
  <c r="K2" i="1"/>
  <c r="Y7" i="1" l="1"/>
  <c r="T7" i="1"/>
  <c r="X7" i="1" s="1"/>
  <c r="S5" i="1"/>
  <c r="Q5" i="1"/>
  <c r="U4" i="1"/>
  <c r="L2" i="1"/>
  <c r="T2" i="1"/>
  <c r="U7" i="1" l="1"/>
  <c r="V4" i="1"/>
  <c r="P5" i="1"/>
  <c r="R5" i="1" s="1"/>
  <c r="Y5" i="1" s="1"/>
  <c r="M5" i="1"/>
  <c r="O5" i="1" s="1"/>
  <c r="Z5" i="1" s="1"/>
  <c r="X2" i="1"/>
  <c r="U2" i="1"/>
  <c r="V2" i="1" s="1"/>
  <c r="W2" i="1" s="1"/>
  <c r="V7" i="1" l="1"/>
  <c r="W4" i="1"/>
  <c r="T5" i="1"/>
  <c r="U5" i="1" l="1"/>
  <c r="V5" i="1" s="1"/>
  <c r="W5" i="1" s="1"/>
  <c r="X5" i="1"/>
  <c r="W7" i="1"/>
</calcChain>
</file>

<file path=xl/sharedStrings.xml><?xml version="1.0" encoding="utf-8"?>
<sst xmlns="http://schemas.openxmlformats.org/spreadsheetml/2006/main" count="28" uniqueCount="16">
  <si>
    <t>a</t>
  </si>
  <si>
    <t>b</t>
  </si>
  <si>
    <t>a0</t>
  </si>
  <si>
    <t>b0</t>
  </si>
  <si>
    <t>t0</t>
  </si>
  <si>
    <t>t</t>
  </si>
  <si>
    <t>s0</t>
  </si>
  <si>
    <t>s</t>
  </si>
  <si>
    <t>q</t>
  </si>
  <si>
    <t>r</t>
  </si>
  <si>
    <t>r&gt;0</t>
  </si>
  <si>
    <t>temp</t>
  </si>
  <si>
    <t>Continua While?</t>
  </si>
  <si>
    <t>1)</t>
  </si>
  <si>
    <t>2)</t>
  </si>
  <si>
    <t xml:space="preserve">3)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</si>
</sst>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9DDC4-13EE-450F-91F8-CEF78D8027B1}">
  <dimension ref="A1:Z15"/>
  <sheetViews>
    <sheetView tabSelected="1" topLeftCell="E1" zoomScaleNormal="100" workbookViewId="0">
      <selection activeCell="N9" sqref="N9"/>
    </sheetView>
  </sheetViews>
  <sheetFormatPr baseColWidth="10" defaultRowHeight="14.4" x14ac:dyDescent="0.3"/>
  <cols>
    <col min="22" max="22" width="14.109375" bestFit="1" customWidth="1"/>
    <col min="23" max="23" width="14.77734375" bestFit="1" customWidth="1"/>
  </cols>
  <sheetData>
    <row r="1" spans="1:26" x14ac:dyDescent="0.3">
      <c r="A1" t="s">
        <v>13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s="3" t="s">
        <v>4</v>
      </c>
      <c r="O1" s="3" t="s">
        <v>5</v>
      </c>
      <c r="P1" s="3" t="s">
        <v>11</v>
      </c>
      <c r="Q1" s="3" t="s">
        <v>6</v>
      </c>
      <c r="R1" s="3" t="s">
        <v>7</v>
      </c>
      <c r="S1" s="3" t="s">
        <v>2</v>
      </c>
      <c r="T1" s="3" t="s">
        <v>3</v>
      </c>
      <c r="U1" s="3" t="s">
        <v>8</v>
      </c>
      <c r="V1" s="3" t="s">
        <v>9</v>
      </c>
      <c r="W1" s="2" t="s">
        <v>12</v>
      </c>
      <c r="X1" s="1" t="s">
        <v>9</v>
      </c>
      <c r="Y1" s="1" t="s">
        <v>7</v>
      </c>
      <c r="Z1" s="1" t="s">
        <v>5</v>
      </c>
    </row>
    <row r="2" spans="1:26" x14ac:dyDescent="0.3">
      <c r="B2" s="1">
        <v>10</v>
      </c>
      <c r="C2" s="1">
        <v>8</v>
      </c>
      <c r="D2" s="2">
        <f>B2</f>
        <v>10</v>
      </c>
      <c r="E2" s="2">
        <f>C2</f>
        <v>8</v>
      </c>
      <c r="F2" s="2">
        <v>0</v>
      </c>
      <c r="G2" s="2">
        <v>1</v>
      </c>
      <c r="H2" s="2">
        <v>1</v>
      </c>
      <c r="I2" s="2">
        <v>0</v>
      </c>
      <c r="J2" s="2">
        <f>ROUNDDOWN(B2/C2,0)</f>
        <v>1</v>
      </c>
      <c r="K2" s="2">
        <f>D2-J2*E2</f>
        <v>2</v>
      </c>
      <c r="L2" s="2" t="str">
        <f>IF(K2&gt;0,"Entra","No entra")</f>
        <v>Entra</v>
      </c>
      <c r="M2" s="2">
        <f>F2-J2*G2</f>
        <v>-1</v>
      </c>
      <c r="N2" s="2">
        <f>G2</f>
        <v>1</v>
      </c>
      <c r="O2" s="2">
        <f>M2</f>
        <v>-1</v>
      </c>
      <c r="P2" s="2">
        <f>H2-J2*I2</f>
        <v>1</v>
      </c>
      <c r="Q2" s="2">
        <f>I2</f>
        <v>0</v>
      </c>
      <c r="R2" s="2">
        <f>P2</f>
        <v>1</v>
      </c>
      <c r="S2" s="2">
        <f>E2</f>
        <v>8</v>
      </c>
      <c r="T2" s="2">
        <f>K2</f>
        <v>2</v>
      </c>
      <c r="U2" s="2">
        <f>ROUNDDOWN(S2/T2,0)</f>
        <v>4</v>
      </c>
      <c r="V2" s="2">
        <f>S2-U2*T2</f>
        <v>0</v>
      </c>
      <c r="W2" s="2" t="str">
        <f>IF(V2&gt;0,"Si", "No")</f>
        <v>No</v>
      </c>
      <c r="X2" s="1">
        <f>T2</f>
        <v>2</v>
      </c>
      <c r="Y2" s="1">
        <f>R2</f>
        <v>1</v>
      </c>
      <c r="Z2" s="1">
        <f>O2</f>
        <v>-1</v>
      </c>
    </row>
    <row r="4" spans="1:26" x14ac:dyDescent="0.3">
      <c r="A4" t="s">
        <v>14</v>
      </c>
      <c r="B4" s="1">
        <v>20</v>
      </c>
      <c r="C4" s="1">
        <v>8</v>
      </c>
      <c r="D4" s="2">
        <f>B4</f>
        <v>20</v>
      </c>
      <c r="E4" s="2">
        <f>C4</f>
        <v>8</v>
      </c>
      <c r="F4" s="2">
        <v>0</v>
      </c>
      <c r="G4" s="2">
        <v>1</v>
      </c>
      <c r="H4" s="2">
        <v>1</v>
      </c>
      <c r="I4" s="2">
        <v>0</v>
      </c>
      <c r="J4" s="2">
        <f>ROUNDDOWN(B4/C4,0)</f>
        <v>2</v>
      </c>
      <c r="K4" s="2">
        <f>D4-J4*E4</f>
        <v>4</v>
      </c>
      <c r="L4" s="2" t="str">
        <f>IF(K4&gt;0,"Entra","No entra")</f>
        <v>Entra</v>
      </c>
      <c r="M4" s="2">
        <f>F4-J4*G4</f>
        <v>-2</v>
      </c>
      <c r="N4" s="2">
        <f>G4</f>
        <v>1</v>
      </c>
      <c r="O4" s="2">
        <f>M4</f>
        <v>-2</v>
      </c>
      <c r="P4" s="2">
        <f>H4-J4*I4</f>
        <v>1</v>
      </c>
      <c r="Q4" s="2">
        <f>I4</f>
        <v>0</v>
      </c>
      <c r="R4" s="2">
        <f>P4</f>
        <v>1</v>
      </c>
      <c r="S4" s="2">
        <f>E4</f>
        <v>8</v>
      </c>
      <c r="T4" s="2">
        <f>K4</f>
        <v>4</v>
      </c>
      <c r="U4" s="2">
        <f>ROUNDDOWN(S4/T4,0)</f>
        <v>2</v>
      </c>
      <c r="V4" s="2">
        <f>S4-U4*T4</f>
        <v>0</v>
      </c>
      <c r="W4" s="2" t="str">
        <f>IF(V4&gt;0,"Si", "No")</f>
        <v>No</v>
      </c>
      <c r="X4" s="1">
        <f>T4</f>
        <v>4</v>
      </c>
      <c r="Y4" s="1">
        <f>R4</f>
        <v>1</v>
      </c>
      <c r="Z4" s="1">
        <f>O4</f>
        <v>-2</v>
      </c>
    </row>
    <row r="5" spans="1:26" x14ac:dyDescent="0.3">
      <c r="M5" s="2">
        <f>N4-U4*O4</f>
        <v>5</v>
      </c>
      <c r="N5" s="2">
        <f>O4</f>
        <v>-2</v>
      </c>
      <c r="O5" s="2">
        <f>M5</f>
        <v>5</v>
      </c>
      <c r="P5" s="2">
        <f>Q4-U4*R4</f>
        <v>-2</v>
      </c>
      <c r="Q5" s="2">
        <f>R4</f>
        <v>1</v>
      </c>
      <c r="R5" s="2">
        <f>P5</f>
        <v>-2</v>
      </c>
      <c r="S5" s="2">
        <f>T4</f>
        <v>4</v>
      </c>
      <c r="T5" s="2">
        <f>V4</f>
        <v>0</v>
      </c>
      <c r="U5" s="2" t="e">
        <f>ROUNDDOWN(S5/T5,0)</f>
        <v>#DIV/0!</v>
      </c>
      <c r="V5" s="2" t="e">
        <f>S5-U5*T5</f>
        <v>#DIV/0!</v>
      </c>
      <c r="W5" s="2" t="e">
        <f>IF(V5&gt;0,"Si", "No")</f>
        <v>#DIV/0!</v>
      </c>
      <c r="X5" s="1">
        <f>T5</f>
        <v>0</v>
      </c>
      <c r="Y5" s="1">
        <f>R5</f>
        <v>-2</v>
      </c>
      <c r="Z5" s="1">
        <f>O5</f>
        <v>5</v>
      </c>
    </row>
    <row r="7" spans="1:26" x14ac:dyDescent="0.3">
      <c r="A7" t="s">
        <v>15</v>
      </c>
      <c r="B7" s="1">
        <v>25</v>
      </c>
      <c r="C7" s="1">
        <v>3</v>
      </c>
      <c r="D7" s="2">
        <f>B7</f>
        <v>25</v>
      </c>
      <c r="E7" s="2">
        <f>C7</f>
        <v>3</v>
      </c>
      <c r="F7" s="2">
        <v>0</v>
      </c>
      <c r="G7" s="2">
        <v>1</v>
      </c>
      <c r="H7" s="2">
        <v>1</v>
      </c>
      <c r="I7" s="2">
        <v>0</v>
      </c>
      <c r="J7" s="2">
        <f>ROUNDDOWN(B7/C7,0)</f>
        <v>8</v>
      </c>
      <c r="K7" s="2">
        <f>D7-J7*E7</f>
        <v>1</v>
      </c>
      <c r="L7" s="2" t="str">
        <f>IF(K7&gt;0,"Entra","No entra")</f>
        <v>Entra</v>
      </c>
      <c r="M7" s="2">
        <f>F7-J7*G7</f>
        <v>-8</v>
      </c>
      <c r="N7" s="2">
        <f>G7</f>
        <v>1</v>
      </c>
      <c r="O7" s="2">
        <f>M7</f>
        <v>-8</v>
      </c>
      <c r="P7" s="2">
        <f>H7-J7*I7</f>
        <v>1</v>
      </c>
      <c r="Q7" s="2">
        <f>I7</f>
        <v>0</v>
      </c>
      <c r="R7" s="2">
        <f>P7</f>
        <v>1</v>
      </c>
      <c r="S7" s="2">
        <f>E7</f>
        <v>3</v>
      </c>
      <c r="T7" s="2">
        <f>K7</f>
        <v>1</v>
      </c>
      <c r="U7" s="2">
        <f>ROUNDDOWN(S7/T7,0)</f>
        <v>3</v>
      </c>
      <c r="V7" s="2">
        <f>S7-U7*T7</f>
        <v>0</v>
      </c>
      <c r="W7" s="2" t="str">
        <f>IF(V7&gt;0,"Si", "No")</f>
        <v>No</v>
      </c>
      <c r="X7" s="1">
        <f>T7</f>
        <v>1</v>
      </c>
      <c r="Y7" s="1">
        <f>R7</f>
        <v>1</v>
      </c>
      <c r="Z7" s="1">
        <f>O7</f>
        <v>-8</v>
      </c>
    </row>
    <row r="12" spans="1:26" x14ac:dyDescent="0.3"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6" x14ac:dyDescent="0.3"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6" x14ac:dyDescent="0.3"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6" x14ac:dyDescent="0.3">
      <c r="M15" s="2"/>
      <c r="N15" s="2"/>
      <c r="O15" s="2"/>
      <c r="P15" s="2"/>
      <c r="Q15" s="2"/>
      <c r="R15" s="2"/>
      <c r="S15" s="2"/>
      <c r="T15" s="2"/>
      <c r="U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Areli Alejandra Guevara Badillo</dc:creator>
  <cp:lastModifiedBy>Areli Alejandra Guevara Badillo</cp:lastModifiedBy>
  <dcterms:created xsi:type="dcterms:W3CDTF">2025-09-19T21:57:08Z</dcterms:created>
  <dcterms:modified xsi:type="dcterms:W3CDTF">2025-09-21T06:39:32Z</dcterms:modified>
</cp:coreProperties>
</file>